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esktop\"/>
    </mc:Choice>
  </mc:AlternateContent>
  <xr:revisionPtr revIDLastSave="0" documentId="13_ncr:1_{6254511C-F5DA-434E-8E83-8BCBE5273435}" xr6:coauthVersionLast="47" xr6:coauthVersionMax="47" xr10:uidLastSave="{00000000-0000-0000-0000-000000000000}"/>
  <bookViews>
    <workbookView xWindow="-108" yWindow="-108" windowWidth="23256" windowHeight="12456" xr2:uid="{00623AE9-908E-4F1F-8284-1809CCA8B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8" i="1" l="1"/>
  <c r="I127" i="1"/>
  <c r="I126" i="1"/>
  <c r="I125" i="1"/>
  <c r="I124" i="1"/>
  <c r="I122" i="1"/>
  <c r="I121" i="1"/>
  <c r="I120" i="1"/>
  <c r="I119" i="1"/>
  <c r="I118" i="1"/>
  <c r="I117" i="1"/>
  <c r="I116" i="1"/>
  <c r="I115" i="1"/>
  <c r="I114" i="1"/>
  <c r="I113" i="1"/>
  <c r="I112" i="1"/>
  <c r="I106" i="1"/>
  <c r="I105" i="1"/>
  <c r="I104" i="1"/>
  <c r="I103" i="1"/>
  <c r="I102" i="1"/>
  <c r="I100" i="1"/>
  <c r="I99" i="1"/>
  <c r="I98" i="1"/>
  <c r="I97" i="1"/>
  <c r="I96" i="1"/>
  <c r="I95" i="1"/>
  <c r="I94" i="1"/>
  <c r="I93" i="1"/>
  <c r="I92" i="1"/>
  <c r="I91" i="1"/>
  <c r="I90" i="1"/>
  <c r="I84" i="1"/>
  <c r="I83" i="1"/>
  <c r="I82" i="1"/>
  <c r="I81" i="1"/>
  <c r="I80" i="1"/>
  <c r="I78" i="1"/>
  <c r="I77" i="1"/>
  <c r="I76" i="1"/>
  <c r="I75" i="1"/>
  <c r="I74" i="1"/>
  <c r="I73" i="1"/>
  <c r="I72" i="1"/>
  <c r="I71" i="1"/>
  <c r="I70" i="1"/>
  <c r="I69" i="1"/>
  <c r="I68" i="1"/>
  <c r="I62" i="1"/>
  <c r="I61" i="1"/>
  <c r="I60" i="1"/>
  <c r="I59" i="1"/>
  <c r="I58" i="1"/>
  <c r="I56" i="1"/>
  <c r="I55" i="1"/>
  <c r="I54" i="1"/>
  <c r="I53" i="1"/>
  <c r="I52" i="1"/>
  <c r="I51" i="1"/>
  <c r="I50" i="1"/>
  <c r="I49" i="1"/>
  <c r="I48" i="1"/>
  <c r="I47" i="1"/>
  <c r="I46" i="1"/>
  <c r="I40" i="1"/>
  <c r="I39" i="1"/>
  <c r="I38" i="1"/>
  <c r="I37" i="1"/>
  <c r="I36" i="1"/>
  <c r="I34" i="1"/>
  <c r="I33" i="1"/>
  <c r="I32" i="1"/>
  <c r="I31" i="1"/>
  <c r="I30" i="1"/>
  <c r="I29" i="1"/>
  <c r="I28" i="1"/>
  <c r="I27" i="1"/>
  <c r="I26" i="1"/>
  <c r="I25" i="1"/>
  <c r="I24" i="1"/>
  <c r="I17" i="1"/>
  <c r="I18" i="1"/>
  <c r="I14" i="1"/>
  <c r="I15" i="1"/>
  <c r="I16" i="1"/>
  <c r="I6" i="1"/>
  <c r="I5" i="1"/>
  <c r="I4" i="1"/>
  <c r="I7" i="1"/>
  <c r="I8" i="1"/>
  <c r="I9" i="1"/>
  <c r="I10" i="1"/>
  <c r="I11" i="1"/>
  <c r="I12" i="1"/>
  <c r="I3" i="1"/>
  <c r="I2" i="1"/>
</calcChain>
</file>

<file path=xl/sharedStrings.xml><?xml version="1.0" encoding="utf-8"?>
<sst xmlns="http://schemas.openxmlformats.org/spreadsheetml/2006/main" count="138" uniqueCount="27">
  <si>
    <t>Innings</t>
  </si>
  <si>
    <t>Runs</t>
  </si>
  <si>
    <t>Not Outs</t>
  </si>
  <si>
    <t>Best Score</t>
  </si>
  <si>
    <t>Strike Rate</t>
  </si>
  <si>
    <t>Fours</t>
  </si>
  <si>
    <t>Sixes</t>
  </si>
  <si>
    <t>Thirties</t>
  </si>
  <si>
    <t>Fifties</t>
  </si>
  <si>
    <t>Hundreds</t>
  </si>
  <si>
    <t>Ducks</t>
  </si>
  <si>
    <t>Overs</t>
  </si>
  <si>
    <t>Wickets</t>
  </si>
  <si>
    <t>Economy Rate</t>
  </si>
  <si>
    <t>Dot Balls</t>
  </si>
  <si>
    <t>Day 1</t>
  </si>
  <si>
    <t>Day 2</t>
  </si>
  <si>
    <t>Day 3</t>
  </si>
  <si>
    <t>Day 4</t>
  </si>
  <si>
    <t>Day 5</t>
  </si>
  <si>
    <t>Day 6</t>
  </si>
  <si>
    <t>Atharva</t>
  </si>
  <si>
    <t>Hardik</t>
  </si>
  <si>
    <t>Shouryam</t>
  </si>
  <si>
    <t>Ashish</t>
  </si>
  <si>
    <t>Ayush</t>
  </si>
  <si>
    <t>Kartik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</si>
</sst>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09C9-1A9F-4714-9F73-B97BA3F43ED2}">
  <dimension ref="B1:I128"/>
  <sheetViews>
    <sheetView tabSelected="1" topLeftCell="A84" zoomScale="107" workbookViewId="0">
      <selection activeCell="F100" sqref="F100"/>
    </sheetView>
  </sheetViews>
  <sheetFormatPr defaultRowHeight="14.4" x14ac:dyDescent="0.3"/>
  <cols>
    <col min="2" max="2" width="16.88671875" customWidth="1"/>
    <col min="3" max="3" width="16.109375" customWidth="1"/>
    <col min="4" max="4" width="14.44140625" customWidth="1"/>
    <col min="5" max="5" width="13.5546875" customWidth="1"/>
    <col min="6" max="6" width="17.109375" customWidth="1"/>
    <col min="7" max="7" width="16" customWidth="1"/>
    <col min="8" max="8" width="14.109375" customWidth="1"/>
    <col min="9" max="9" width="16.6640625" customWidth="1"/>
  </cols>
  <sheetData>
    <row r="1" spans="2:9" x14ac:dyDescent="0.3">
      <c r="B1" s="1" t="s">
        <v>21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2:9" x14ac:dyDescent="0.3">
      <c r="B2" t="s">
        <v>0</v>
      </c>
      <c r="C2">
        <v>3</v>
      </c>
      <c r="D2">
        <v>3</v>
      </c>
      <c r="E2">
        <v>2</v>
      </c>
      <c r="F2">
        <v>3</v>
      </c>
      <c r="G2">
        <v>3</v>
      </c>
      <c r="H2">
        <v>1</v>
      </c>
      <c r="I2">
        <f>SUM(C2:H2)</f>
        <v>15</v>
      </c>
    </row>
    <row r="3" spans="2:9" x14ac:dyDescent="0.3">
      <c r="B3" t="s">
        <v>1</v>
      </c>
      <c r="C3">
        <v>47</v>
      </c>
      <c r="D3">
        <v>50</v>
      </c>
      <c r="E3">
        <v>65</v>
      </c>
      <c r="F3">
        <v>50</v>
      </c>
      <c r="G3">
        <v>87</v>
      </c>
      <c r="H3">
        <v>56</v>
      </c>
      <c r="I3">
        <f>SUM(C3:H3)</f>
        <v>355</v>
      </c>
    </row>
    <row r="4" spans="2:9" x14ac:dyDescent="0.3">
      <c r="B4" t="s">
        <v>2</v>
      </c>
      <c r="C4">
        <v>2</v>
      </c>
      <c r="D4">
        <v>3</v>
      </c>
      <c r="E4">
        <v>2</v>
      </c>
      <c r="F4">
        <v>3</v>
      </c>
      <c r="G4">
        <v>2</v>
      </c>
      <c r="H4">
        <v>1</v>
      </c>
      <c r="I4">
        <f t="shared" ref="I4:I12" si="0">SUM(C4:H4)</f>
        <v>13</v>
      </c>
    </row>
    <row r="5" spans="2:9" x14ac:dyDescent="0.3">
      <c r="B5" t="s">
        <v>3</v>
      </c>
      <c r="C5">
        <v>29</v>
      </c>
      <c r="D5">
        <v>24</v>
      </c>
      <c r="E5">
        <v>26</v>
      </c>
      <c r="F5">
        <v>27</v>
      </c>
      <c r="G5">
        <v>33</v>
      </c>
      <c r="H5">
        <v>56</v>
      </c>
      <c r="I5">
        <f>MAX(C5:H5)</f>
        <v>56</v>
      </c>
    </row>
    <row r="6" spans="2:9" x14ac:dyDescent="0.3">
      <c r="B6" t="s">
        <v>4</v>
      </c>
      <c r="C6">
        <v>174</v>
      </c>
      <c r="D6">
        <v>178</v>
      </c>
      <c r="E6">
        <v>342</v>
      </c>
      <c r="F6">
        <v>200</v>
      </c>
      <c r="G6">
        <v>181</v>
      </c>
      <c r="H6">
        <v>266</v>
      </c>
      <c r="I6">
        <f>SUM(C6:H6)/6</f>
        <v>223.5</v>
      </c>
    </row>
    <row r="7" spans="2:9" x14ac:dyDescent="0.3">
      <c r="B7" t="s">
        <v>5</v>
      </c>
      <c r="C7">
        <v>0</v>
      </c>
      <c r="D7">
        <v>1</v>
      </c>
      <c r="E7">
        <v>2</v>
      </c>
      <c r="F7">
        <v>1</v>
      </c>
      <c r="G7">
        <v>4</v>
      </c>
      <c r="H7">
        <v>3</v>
      </c>
      <c r="I7">
        <f t="shared" si="0"/>
        <v>11</v>
      </c>
    </row>
    <row r="8" spans="2:9" x14ac:dyDescent="0.3">
      <c r="B8" t="s">
        <v>6</v>
      </c>
      <c r="C8">
        <v>5</v>
      </c>
      <c r="D8">
        <v>5</v>
      </c>
      <c r="E8">
        <v>9</v>
      </c>
      <c r="F8">
        <v>6</v>
      </c>
      <c r="G8">
        <v>9</v>
      </c>
      <c r="H8">
        <v>6</v>
      </c>
      <c r="I8">
        <f t="shared" si="0"/>
        <v>40</v>
      </c>
    </row>
    <row r="9" spans="2:9" x14ac:dyDescent="0.3">
      <c r="B9" t="s">
        <v>7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f t="shared" si="0"/>
        <v>4</v>
      </c>
    </row>
    <row r="10" spans="2:9" x14ac:dyDescent="0.3">
      <c r="B10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f t="shared" si="0"/>
        <v>1</v>
      </c>
    </row>
    <row r="11" spans="2:9" x14ac:dyDescent="0.3"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2:9" x14ac:dyDescent="0.3">
      <c r="B12" t="s">
        <v>10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f t="shared" si="0"/>
        <v>1</v>
      </c>
    </row>
    <row r="14" spans="2:9" x14ac:dyDescent="0.3">
      <c r="B14" t="s">
        <v>11</v>
      </c>
      <c r="C14">
        <v>5</v>
      </c>
      <c r="D14">
        <v>5</v>
      </c>
      <c r="E14">
        <v>0</v>
      </c>
      <c r="F14">
        <v>7</v>
      </c>
      <c r="G14">
        <v>11</v>
      </c>
      <c r="H14">
        <v>5</v>
      </c>
      <c r="I14">
        <f>SUM(C14:H14)</f>
        <v>33</v>
      </c>
    </row>
    <row r="15" spans="2:9" x14ac:dyDescent="0.3">
      <c r="B15" t="s">
        <v>12</v>
      </c>
      <c r="C15">
        <v>2</v>
      </c>
      <c r="D15">
        <v>1</v>
      </c>
      <c r="E15">
        <v>0</v>
      </c>
      <c r="F15">
        <v>2</v>
      </c>
      <c r="G15">
        <v>3</v>
      </c>
      <c r="H15">
        <v>1</v>
      </c>
      <c r="I15">
        <f>SUM(C15:H15)</f>
        <v>9</v>
      </c>
    </row>
    <row r="16" spans="2:9" x14ac:dyDescent="0.3">
      <c r="B16" t="s">
        <v>1</v>
      </c>
      <c r="C16">
        <v>63</v>
      </c>
      <c r="D16">
        <v>86</v>
      </c>
      <c r="E16">
        <v>0</v>
      </c>
      <c r="F16">
        <v>102</v>
      </c>
      <c r="G16">
        <v>98</v>
      </c>
      <c r="H16">
        <v>65</v>
      </c>
      <c r="I16">
        <f>SUM(C16:H16)</f>
        <v>414</v>
      </c>
    </row>
    <row r="17" spans="2:9" x14ac:dyDescent="0.3">
      <c r="B17" t="s">
        <v>13</v>
      </c>
      <c r="C17">
        <v>12.6</v>
      </c>
      <c r="D17">
        <v>17.2</v>
      </c>
      <c r="E17">
        <v>0</v>
      </c>
      <c r="F17">
        <v>14.5</v>
      </c>
      <c r="G17">
        <v>8.9</v>
      </c>
      <c r="H17">
        <v>13</v>
      </c>
      <c r="I17">
        <f>ROUNDDOWN(SUM(C16:H16)/SUM(C14:H14), 1)</f>
        <v>12.5</v>
      </c>
    </row>
    <row r="18" spans="2:9" x14ac:dyDescent="0.3">
      <c r="B18" t="s">
        <v>14</v>
      </c>
      <c r="C18">
        <v>16</v>
      </c>
      <c r="D18">
        <v>10</v>
      </c>
      <c r="E18">
        <v>0</v>
      </c>
      <c r="F18">
        <v>24</v>
      </c>
      <c r="G18">
        <v>43</v>
      </c>
      <c r="H18">
        <v>17</v>
      </c>
      <c r="I18">
        <f>SUM(C18:H18)</f>
        <v>110</v>
      </c>
    </row>
    <row r="23" spans="2:9" x14ac:dyDescent="0.3">
      <c r="B23" s="1" t="s">
        <v>22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</row>
    <row r="24" spans="2:9" x14ac:dyDescent="0.3">
      <c r="B24" t="s">
        <v>0</v>
      </c>
      <c r="C24">
        <v>5</v>
      </c>
      <c r="D24">
        <v>3</v>
      </c>
      <c r="E24">
        <v>3</v>
      </c>
      <c r="F24">
        <v>3</v>
      </c>
      <c r="G24">
        <v>4</v>
      </c>
      <c r="H24">
        <v>2</v>
      </c>
      <c r="I24">
        <f>SUM(C24:H24)</f>
        <v>20</v>
      </c>
    </row>
    <row r="25" spans="2:9" x14ac:dyDescent="0.3">
      <c r="B25" t="s">
        <v>1</v>
      </c>
      <c r="C25">
        <v>56</v>
      </c>
      <c r="D25">
        <v>77</v>
      </c>
      <c r="E25">
        <v>56</v>
      </c>
      <c r="F25">
        <v>85</v>
      </c>
      <c r="G25">
        <v>118</v>
      </c>
      <c r="H25">
        <v>117</v>
      </c>
      <c r="I25">
        <f>SUM(C25:H25)</f>
        <v>509</v>
      </c>
    </row>
    <row r="26" spans="2:9" x14ac:dyDescent="0.3">
      <c r="B26" t="s">
        <v>2</v>
      </c>
      <c r="C26">
        <v>3</v>
      </c>
      <c r="D26">
        <v>2</v>
      </c>
      <c r="E26">
        <v>3</v>
      </c>
      <c r="F26">
        <v>3</v>
      </c>
      <c r="G26">
        <v>2</v>
      </c>
      <c r="H26">
        <v>1</v>
      </c>
      <c r="I26">
        <f t="shared" ref="I26" si="1">SUM(C26:H26)</f>
        <v>14</v>
      </c>
    </row>
    <row r="27" spans="2:9" x14ac:dyDescent="0.3">
      <c r="B27" t="s">
        <v>3</v>
      </c>
      <c r="C27">
        <v>25</v>
      </c>
      <c r="D27">
        <v>36</v>
      </c>
      <c r="E27">
        <v>38</v>
      </c>
      <c r="F27">
        <v>41</v>
      </c>
      <c r="G27">
        <v>46</v>
      </c>
      <c r="H27">
        <v>105</v>
      </c>
      <c r="I27">
        <f>MAX(C27:H27)</f>
        <v>105</v>
      </c>
    </row>
    <row r="28" spans="2:9" x14ac:dyDescent="0.3">
      <c r="B28" t="s">
        <v>4</v>
      </c>
      <c r="C28">
        <v>175</v>
      </c>
      <c r="D28">
        <v>256</v>
      </c>
      <c r="E28">
        <v>280</v>
      </c>
      <c r="F28">
        <v>146.5</v>
      </c>
      <c r="G28">
        <v>210</v>
      </c>
      <c r="H28">
        <v>225</v>
      </c>
      <c r="I28">
        <f>SUM(C28:H28)/6</f>
        <v>215.41666666666666</v>
      </c>
    </row>
    <row r="29" spans="2:9" x14ac:dyDescent="0.3">
      <c r="B29" t="s">
        <v>5</v>
      </c>
      <c r="C29">
        <v>3</v>
      </c>
      <c r="D29">
        <v>3</v>
      </c>
      <c r="E29">
        <v>1</v>
      </c>
      <c r="F29">
        <v>2</v>
      </c>
      <c r="G29">
        <v>3</v>
      </c>
      <c r="H29">
        <v>6</v>
      </c>
      <c r="I29">
        <f t="shared" ref="I29:I34" si="2">SUM(C29:H29)</f>
        <v>18</v>
      </c>
    </row>
    <row r="30" spans="2:9" x14ac:dyDescent="0.3">
      <c r="B30" t="s">
        <v>6</v>
      </c>
      <c r="C30">
        <v>6</v>
      </c>
      <c r="D30">
        <v>8</v>
      </c>
      <c r="E30">
        <v>8</v>
      </c>
      <c r="F30">
        <v>9</v>
      </c>
      <c r="G30">
        <v>14</v>
      </c>
      <c r="H30">
        <v>12</v>
      </c>
      <c r="I30">
        <f t="shared" si="2"/>
        <v>57</v>
      </c>
    </row>
    <row r="31" spans="2:9" x14ac:dyDescent="0.3">
      <c r="B31" t="s">
        <v>7</v>
      </c>
      <c r="C31">
        <v>0</v>
      </c>
      <c r="D31">
        <v>1</v>
      </c>
      <c r="E31">
        <v>1</v>
      </c>
      <c r="F31">
        <v>1</v>
      </c>
      <c r="G31">
        <v>2</v>
      </c>
      <c r="H31">
        <v>0</v>
      </c>
      <c r="I31">
        <f t="shared" si="2"/>
        <v>5</v>
      </c>
    </row>
    <row r="32" spans="2:9" x14ac:dyDescent="0.3">
      <c r="B32" t="s">
        <v>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f t="shared" si="2"/>
        <v>0</v>
      </c>
    </row>
    <row r="33" spans="2:9" x14ac:dyDescent="0.3">
      <c r="B33" t="s">
        <v>9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f t="shared" si="2"/>
        <v>1</v>
      </c>
    </row>
    <row r="34" spans="2:9" x14ac:dyDescent="0.3">
      <c r="B34" t="s">
        <v>10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f t="shared" si="2"/>
        <v>2</v>
      </c>
    </row>
    <row r="36" spans="2:9" x14ac:dyDescent="0.3">
      <c r="B36" t="s">
        <v>11</v>
      </c>
      <c r="C36">
        <v>10</v>
      </c>
      <c r="D36">
        <v>4.3</v>
      </c>
      <c r="E36">
        <v>6</v>
      </c>
      <c r="F36">
        <v>7</v>
      </c>
      <c r="G36">
        <v>8.4</v>
      </c>
      <c r="H36">
        <v>5</v>
      </c>
      <c r="I36">
        <f>SUM(C36:H36)</f>
        <v>40.700000000000003</v>
      </c>
    </row>
    <row r="37" spans="2:9" x14ac:dyDescent="0.3">
      <c r="B37" t="s">
        <v>12</v>
      </c>
      <c r="C37">
        <v>3</v>
      </c>
      <c r="D37">
        <v>2</v>
      </c>
      <c r="E37">
        <v>0</v>
      </c>
      <c r="F37">
        <v>3</v>
      </c>
      <c r="G37">
        <v>6</v>
      </c>
      <c r="H37">
        <v>2</v>
      </c>
      <c r="I37">
        <f>SUM(C37:H37)</f>
        <v>16</v>
      </c>
    </row>
    <row r="38" spans="2:9" x14ac:dyDescent="0.3">
      <c r="B38" t="s">
        <v>1</v>
      </c>
      <c r="C38">
        <v>97</v>
      </c>
      <c r="D38">
        <v>29</v>
      </c>
      <c r="E38">
        <v>70</v>
      </c>
      <c r="F38">
        <v>61</v>
      </c>
      <c r="G38">
        <v>70</v>
      </c>
      <c r="H38">
        <v>62</v>
      </c>
      <c r="I38">
        <f>SUM(C38:H38)</f>
        <v>389</v>
      </c>
    </row>
    <row r="39" spans="2:9" x14ac:dyDescent="0.3">
      <c r="B39" t="s">
        <v>13</v>
      </c>
      <c r="C39">
        <v>9.6999999999999993</v>
      </c>
      <c r="D39">
        <v>6.44</v>
      </c>
      <c r="E39">
        <v>11.6</v>
      </c>
      <c r="F39">
        <v>8.6999999999999993</v>
      </c>
      <c r="G39">
        <v>8</v>
      </c>
      <c r="H39">
        <v>12</v>
      </c>
      <c r="I39">
        <f>ROUNDDOWN(SUM(C38:H38)/SUM(C36:H36), 1)</f>
        <v>9.5</v>
      </c>
    </row>
    <row r="40" spans="2:9" x14ac:dyDescent="0.3">
      <c r="B40" t="s">
        <v>14</v>
      </c>
      <c r="C40">
        <v>32</v>
      </c>
      <c r="D40">
        <v>15</v>
      </c>
      <c r="E40">
        <v>18</v>
      </c>
      <c r="F40">
        <v>25</v>
      </c>
      <c r="G40">
        <v>34</v>
      </c>
      <c r="H40">
        <v>16</v>
      </c>
      <c r="I40">
        <f>SUM(C40:H40)</f>
        <v>140</v>
      </c>
    </row>
    <row r="45" spans="2:9" x14ac:dyDescent="0.3">
      <c r="B45" s="1" t="s">
        <v>23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</row>
    <row r="46" spans="2:9" x14ac:dyDescent="0.3">
      <c r="B46" t="s">
        <v>0</v>
      </c>
      <c r="C46">
        <v>5</v>
      </c>
      <c r="D46">
        <v>3</v>
      </c>
      <c r="E46">
        <v>3</v>
      </c>
      <c r="F46">
        <v>2</v>
      </c>
      <c r="G46">
        <v>4</v>
      </c>
      <c r="H46">
        <v>2</v>
      </c>
      <c r="I46">
        <f>SUM(C46:H46)</f>
        <v>19</v>
      </c>
    </row>
    <row r="47" spans="2:9" x14ac:dyDescent="0.3">
      <c r="B47" t="s">
        <v>1</v>
      </c>
      <c r="C47">
        <v>36</v>
      </c>
      <c r="D47">
        <v>44</v>
      </c>
      <c r="E47">
        <v>25</v>
      </c>
      <c r="F47">
        <v>84</v>
      </c>
      <c r="G47">
        <v>42</v>
      </c>
      <c r="H47">
        <v>73</v>
      </c>
      <c r="I47">
        <f>SUM(C47:H47)</f>
        <v>304</v>
      </c>
    </row>
    <row r="48" spans="2:9" x14ac:dyDescent="0.3">
      <c r="B48" t="s">
        <v>2</v>
      </c>
      <c r="C48">
        <v>2</v>
      </c>
      <c r="D48">
        <v>2</v>
      </c>
      <c r="E48">
        <v>3</v>
      </c>
      <c r="F48">
        <v>1</v>
      </c>
      <c r="G48">
        <v>1</v>
      </c>
      <c r="H48">
        <v>1</v>
      </c>
      <c r="I48">
        <f t="shared" ref="I48" si="3">SUM(C48:H48)</f>
        <v>10</v>
      </c>
    </row>
    <row r="49" spans="2:9" x14ac:dyDescent="0.3">
      <c r="B49" t="s">
        <v>3</v>
      </c>
      <c r="C49">
        <v>18</v>
      </c>
      <c r="D49">
        <v>33</v>
      </c>
      <c r="E49">
        <v>20</v>
      </c>
      <c r="F49">
        <v>50</v>
      </c>
      <c r="G49">
        <v>18</v>
      </c>
      <c r="H49">
        <v>59</v>
      </c>
      <c r="I49">
        <f>MAX(C49:H49)</f>
        <v>59</v>
      </c>
    </row>
    <row r="50" spans="2:9" x14ac:dyDescent="0.3">
      <c r="B50" t="s">
        <v>4</v>
      </c>
      <c r="C50">
        <v>190</v>
      </c>
      <c r="D50">
        <v>209</v>
      </c>
      <c r="E50">
        <v>104</v>
      </c>
      <c r="F50">
        <v>250</v>
      </c>
      <c r="G50">
        <v>161.5</v>
      </c>
      <c r="H50">
        <v>187</v>
      </c>
      <c r="I50">
        <f>SUM(C50:H50)/6</f>
        <v>183.58333333333334</v>
      </c>
    </row>
    <row r="51" spans="2:9" x14ac:dyDescent="0.3">
      <c r="B51" t="s">
        <v>5</v>
      </c>
      <c r="C51">
        <v>1</v>
      </c>
      <c r="D51">
        <v>1</v>
      </c>
      <c r="E51">
        <v>1</v>
      </c>
      <c r="F51">
        <v>5</v>
      </c>
      <c r="G51">
        <v>1</v>
      </c>
      <c r="H51">
        <v>2</v>
      </c>
      <c r="I51">
        <f t="shared" ref="I51:I56" si="4">SUM(C51:H51)</f>
        <v>11</v>
      </c>
    </row>
    <row r="52" spans="2:9" x14ac:dyDescent="0.3">
      <c r="B52" t="s">
        <v>6</v>
      </c>
      <c r="C52">
        <v>5</v>
      </c>
      <c r="D52">
        <v>5</v>
      </c>
      <c r="E52">
        <v>2</v>
      </c>
      <c r="F52">
        <v>10</v>
      </c>
      <c r="G52">
        <v>6</v>
      </c>
      <c r="H52">
        <v>9</v>
      </c>
      <c r="I52">
        <f t="shared" si="4"/>
        <v>37</v>
      </c>
    </row>
    <row r="53" spans="2:9" x14ac:dyDescent="0.3">
      <c r="B53" t="s">
        <v>7</v>
      </c>
      <c r="C53">
        <v>0</v>
      </c>
      <c r="D53">
        <v>1</v>
      </c>
      <c r="E53">
        <v>0</v>
      </c>
      <c r="F53">
        <v>1</v>
      </c>
      <c r="G53">
        <v>0</v>
      </c>
      <c r="H53">
        <v>0</v>
      </c>
      <c r="I53">
        <f t="shared" si="4"/>
        <v>2</v>
      </c>
    </row>
    <row r="54" spans="2:9" x14ac:dyDescent="0.3">
      <c r="B54" t="s">
        <v>8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f t="shared" si="4"/>
        <v>2</v>
      </c>
    </row>
    <row r="55" spans="2:9" x14ac:dyDescent="0.3">
      <c r="B55" t="s">
        <v>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4"/>
        <v>0</v>
      </c>
    </row>
    <row r="56" spans="2:9" x14ac:dyDescent="0.3">
      <c r="B56" t="s">
        <v>10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f t="shared" si="4"/>
        <v>2</v>
      </c>
    </row>
    <row r="58" spans="2:9" x14ac:dyDescent="0.3">
      <c r="B58" t="s">
        <v>11</v>
      </c>
      <c r="C58">
        <v>6</v>
      </c>
      <c r="D58">
        <v>3</v>
      </c>
      <c r="E58">
        <v>5.3</v>
      </c>
      <c r="F58">
        <v>4</v>
      </c>
      <c r="G58">
        <v>8</v>
      </c>
      <c r="H58">
        <v>5</v>
      </c>
      <c r="I58">
        <f>SUM(C58:H58)</f>
        <v>31.3</v>
      </c>
    </row>
    <row r="59" spans="2:9" x14ac:dyDescent="0.3">
      <c r="B59" t="s">
        <v>12</v>
      </c>
      <c r="C59">
        <v>2</v>
      </c>
      <c r="D59">
        <v>1</v>
      </c>
      <c r="E59">
        <v>1</v>
      </c>
      <c r="F59">
        <v>1</v>
      </c>
      <c r="G59">
        <v>2</v>
      </c>
      <c r="H59">
        <v>2</v>
      </c>
      <c r="I59">
        <f>SUM(C59:H59)</f>
        <v>9</v>
      </c>
    </row>
    <row r="60" spans="2:9" x14ac:dyDescent="0.3">
      <c r="B60" t="s">
        <v>1</v>
      </c>
      <c r="C60">
        <v>91</v>
      </c>
      <c r="D60">
        <v>43</v>
      </c>
      <c r="E60">
        <v>107</v>
      </c>
      <c r="F60">
        <v>40</v>
      </c>
      <c r="G60">
        <v>85</v>
      </c>
      <c r="H60">
        <v>69</v>
      </c>
      <c r="I60">
        <f>SUM(C60:H60)</f>
        <v>435</v>
      </c>
    </row>
    <row r="61" spans="2:9" x14ac:dyDescent="0.3">
      <c r="B61" t="s">
        <v>13</v>
      </c>
      <c r="C61">
        <v>15</v>
      </c>
      <c r="D61">
        <v>14.3</v>
      </c>
      <c r="E61">
        <v>20</v>
      </c>
      <c r="F61">
        <v>10</v>
      </c>
      <c r="G61">
        <v>10.6</v>
      </c>
      <c r="H61">
        <v>13.8</v>
      </c>
      <c r="I61">
        <f>ROUNDDOWN(SUM(C60:H60)/SUM(C58:H58), 1)</f>
        <v>13.8</v>
      </c>
    </row>
    <row r="62" spans="2:9" x14ac:dyDescent="0.3">
      <c r="B62" t="s">
        <v>14</v>
      </c>
      <c r="C62">
        <v>13</v>
      </c>
      <c r="D62">
        <v>6</v>
      </c>
      <c r="E62">
        <v>11</v>
      </c>
      <c r="F62">
        <v>12</v>
      </c>
      <c r="G62">
        <v>23</v>
      </c>
      <c r="H62">
        <v>11</v>
      </c>
      <c r="I62">
        <f>SUM(C62:H62)</f>
        <v>76</v>
      </c>
    </row>
    <row r="67" spans="2:9" x14ac:dyDescent="0.3">
      <c r="B67" s="1" t="s">
        <v>24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</row>
    <row r="68" spans="2:9" x14ac:dyDescent="0.3">
      <c r="B68" t="s">
        <v>0</v>
      </c>
      <c r="C68">
        <v>5</v>
      </c>
      <c r="D68">
        <v>3</v>
      </c>
      <c r="E68">
        <v>3</v>
      </c>
      <c r="F68">
        <v>2</v>
      </c>
      <c r="G68">
        <v>4</v>
      </c>
      <c r="H68">
        <v>2</v>
      </c>
      <c r="I68">
        <f>SUM(C68:H68)</f>
        <v>19</v>
      </c>
    </row>
    <row r="69" spans="2:9" x14ac:dyDescent="0.3">
      <c r="B69" t="s">
        <v>1</v>
      </c>
      <c r="C69">
        <v>184</v>
      </c>
      <c r="D69">
        <v>71</v>
      </c>
      <c r="E69">
        <v>91</v>
      </c>
      <c r="F69">
        <v>52</v>
      </c>
      <c r="G69">
        <v>115</v>
      </c>
      <c r="H69">
        <v>34</v>
      </c>
      <c r="I69">
        <f>SUM(C69:H69)</f>
        <v>547</v>
      </c>
    </row>
    <row r="70" spans="2:9" x14ac:dyDescent="0.3">
      <c r="B70" t="s">
        <v>2</v>
      </c>
      <c r="C70">
        <v>4</v>
      </c>
      <c r="D70">
        <v>2</v>
      </c>
      <c r="E70">
        <v>2</v>
      </c>
      <c r="F70">
        <v>0</v>
      </c>
      <c r="G70">
        <v>1</v>
      </c>
      <c r="H70">
        <v>0</v>
      </c>
      <c r="I70">
        <f t="shared" ref="I70" si="5">SUM(C70:H70)</f>
        <v>9</v>
      </c>
    </row>
    <row r="71" spans="2:9" x14ac:dyDescent="0.3">
      <c r="B71" t="s">
        <v>3</v>
      </c>
      <c r="C71">
        <v>68</v>
      </c>
      <c r="D71">
        <v>34</v>
      </c>
      <c r="E71">
        <v>53</v>
      </c>
      <c r="F71">
        <v>32</v>
      </c>
      <c r="G71">
        <v>66</v>
      </c>
      <c r="H71">
        <v>34</v>
      </c>
      <c r="I71">
        <f>MAX(C71:H71)</f>
        <v>68</v>
      </c>
    </row>
    <row r="72" spans="2:9" x14ac:dyDescent="0.3">
      <c r="B72" t="s">
        <v>4</v>
      </c>
      <c r="C72">
        <v>270.5</v>
      </c>
      <c r="D72">
        <v>262</v>
      </c>
      <c r="E72">
        <v>252</v>
      </c>
      <c r="F72">
        <v>300</v>
      </c>
      <c r="G72">
        <v>234</v>
      </c>
      <c r="H72">
        <v>226</v>
      </c>
      <c r="I72">
        <f>SUM(C72:H72)/6</f>
        <v>257.41666666666669</v>
      </c>
    </row>
    <row r="73" spans="2:9" x14ac:dyDescent="0.3">
      <c r="B73" t="s">
        <v>5</v>
      </c>
      <c r="C73">
        <v>4</v>
      </c>
      <c r="D73">
        <v>2</v>
      </c>
      <c r="E73">
        <v>0</v>
      </c>
      <c r="F73">
        <v>3</v>
      </c>
      <c r="G73">
        <v>5</v>
      </c>
      <c r="H73">
        <v>2</v>
      </c>
      <c r="I73">
        <f t="shared" ref="I73:I78" si="6">SUM(C73:H73)</f>
        <v>16</v>
      </c>
    </row>
    <row r="74" spans="2:9" x14ac:dyDescent="0.3">
      <c r="B74" t="s">
        <v>6</v>
      </c>
      <c r="C74">
        <v>24</v>
      </c>
      <c r="D74">
        <v>8</v>
      </c>
      <c r="E74">
        <v>12</v>
      </c>
      <c r="F74">
        <v>6</v>
      </c>
      <c r="G74">
        <v>14</v>
      </c>
      <c r="H74">
        <v>4</v>
      </c>
      <c r="I74">
        <f t="shared" si="6"/>
        <v>68</v>
      </c>
    </row>
    <row r="75" spans="2:9" x14ac:dyDescent="0.3">
      <c r="B75" t="s">
        <v>7</v>
      </c>
      <c r="C75">
        <v>0</v>
      </c>
      <c r="D75">
        <v>2</v>
      </c>
      <c r="E75">
        <v>1</v>
      </c>
      <c r="F75">
        <v>1</v>
      </c>
      <c r="G75">
        <v>1</v>
      </c>
      <c r="H75">
        <v>1</v>
      </c>
      <c r="I75">
        <f t="shared" si="6"/>
        <v>6</v>
      </c>
    </row>
    <row r="76" spans="2:9" x14ac:dyDescent="0.3">
      <c r="B76" t="s">
        <v>8</v>
      </c>
      <c r="C76">
        <v>2</v>
      </c>
      <c r="D76">
        <v>0</v>
      </c>
      <c r="E76">
        <v>1</v>
      </c>
      <c r="F76">
        <v>0</v>
      </c>
      <c r="G76">
        <v>1</v>
      </c>
      <c r="H76">
        <v>0</v>
      </c>
      <c r="I76">
        <f t="shared" si="6"/>
        <v>4</v>
      </c>
    </row>
    <row r="77" spans="2:9" x14ac:dyDescent="0.3">
      <c r="B77" t="s">
        <v>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f t="shared" si="6"/>
        <v>0</v>
      </c>
    </row>
    <row r="78" spans="2:9" x14ac:dyDescent="0.3">
      <c r="B78" t="s">
        <v>10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f t="shared" si="6"/>
        <v>2</v>
      </c>
    </row>
    <row r="80" spans="2:9" x14ac:dyDescent="0.3">
      <c r="B80" t="s">
        <v>11</v>
      </c>
      <c r="C80">
        <v>9</v>
      </c>
      <c r="D80">
        <v>3</v>
      </c>
      <c r="E80">
        <v>5</v>
      </c>
      <c r="F80">
        <v>5</v>
      </c>
      <c r="G80">
        <v>7</v>
      </c>
      <c r="H80">
        <v>3.2</v>
      </c>
      <c r="I80">
        <f>SUM(C80:H80)</f>
        <v>32.200000000000003</v>
      </c>
    </row>
    <row r="81" spans="2:9" x14ac:dyDescent="0.3">
      <c r="B81" t="s">
        <v>12</v>
      </c>
      <c r="C81">
        <v>3</v>
      </c>
      <c r="D81">
        <v>1</v>
      </c>
      <c r="E81">
        <v>1</v>
      </c>
      <c r="F81">
        <v>1</v>
      </c>
      <c r="G81">
        <v>2</v>
      </c>
      <c r="H81">
        <v>0</v>
      </c>
      <c r="I81">
        <f>SUM(C81:H81)</f>
        <v>8</v>
      </c>
    </row>
    <row r="82" spans="2:9" x14ac:dyDescent="0.3">
      <c r="B82" t="s">
        <v>1</v>
      </c>
      <c r="C82">
        <v>57</v>
      </c>
      <c r="D82">
        <v>44</v>
      </c>
      <c r="E82">
        <v>80</v>
      </c>
      <c r="F82">
        <v>53</v>
      </c>
      <c r="G82">
        <v>59</v>
      </c>
      <c r="H82">
        <v>46</v>
      </c>
      <c r="I82">
        <f>SUM(C82:H82)</f>
        <v>339</v>
      </c>
    </row>
    <row r="83" spans="2:9" x14ac:dyDescent="0.3">
      <c r="B83" t="s">
        <v>13</v>
      </c>
      <c r="C83">
        <v>6.3</v>
      </c>
      <c r="D83">
        <v>15</v>
      </c>
      <c r="E83">
        <v>16</v>
      </c>
      <c r="F83">
        <v>10.6</v>
      </c>
      <c r="G83">
        <v>8.4</v>
      </c>
      <c r="H83">
        <v>13.8</v>
      </c>
      <c r="I83">
        <f>ROUNDDOWN(SUM(C82:H82)/SUM(C80:H80), 1)</f>
        <v>10.5</v>
      </c>
    </row>
    <row r="84" spans="2:9" x14ac:dyDescent="0.3">
      <c r="B84" t="s">
        <v>14</v>
      </c>
      <c r="C84">
        <v>41</v>
      </c>
      <c r="D84">
        <v>7</v>
      </c>
      <c r="E84">
        <v>10</v>
      </c>
      <c r="F84">
        <v>16</v>
      </c>
      <c r="G84">
        <v>23</v>
      </c>
      <c r="H84">
        <v>8</v>
      </c>
      <c r="I84">
        <f>SUM(C84:H84)</f>
        <v>105</v>
      </c>
    </row>
    <row r="89" spans="2:9" x14ac:dyDescent="0.3">
      <c r="B89" s="1" t="s">
        <v>25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</row>
    <row r="90" spans="2:9" x14ac:dyDescent="0.3">
      <c r="B90" t="s">
        <v>0</v>
      </c>
      <c r="C90">
        <v>3</v>
      </c>
      <c r="D90">
        <v>1</v>
      </c>
      <c r="I90">
        <f>SUM(C90:H90)</f>
        <v>4</v>
      </c>
    </row>
    <row r="91" spans="2:9" x14ac:dyDescent="0.3">
      <c r="B91" t="s">
        <v>1</v>
      </c>
      <c r="C91">
        <v>35</v>
      </c>
      <c r="D91">
        <v>13</v>
      </c>
      <c r="I91">
        <f>SUM(C91:H91)</f>
        <v>48</v>
      </c>
    </row>
    <row r="92" spans="2:9" x14ac:dyDescent="0.3">
      <c r="B92" t="s">
        <v>2</v>
      </c>
      <c r="C92">
        <v>1</v>
      </c>
      <c r="D92">
        <v>0</v>
      </c>
      <c r="I92">
        <f t="shared" ref="I92" si="7">SUM(C92:H92)</f>
        <v>1</v>
      </c>
    </row>
    <row r="93" spans="2:9" x14ac:dyDescent="0.3">
      <c r="B93" t="s">
        <v>3</v>
      </c>
      <c r="C93">
        <v>28</v>
      </c>
      <c r="D93">
        <v>13</v>
      </c>
      <c r="I93">
        <f>MAX(C93:H93)</f>
        <v>28</v>
      </c>
    </row>
    <row r="94" spans="2:9" x14ac:dyDescent="0.3">
      <c r="B94" t="s">
        <v>4</v>
      </c>
      <c r="C94">
        <v>145.80000000000001</v>
      </c>
      <c r="D94">
        <v>216</v>
      </c>
      <c r="I94">
        <f>SUM(C94:H94)/6</f>
        <v>60.300000000000004</v>
      </c>
    </row>
    <row r="95" spans="2:9" x14ac:dyDescent="0.3">
      <c r="B95" t="s">
        <v>5</v>
      </c>
      <c r="C95">
        <v>2</v>
      </c>
      <c r="D95">
        <v>0</v>
      </c>
      <c r="I95">
        <f t="shared" ref="I95:I100" si="8">SUM(C95:H95)</f>
        <v>2</v>
      </c>
    </row>
    <row r="96" spans="2:9" x14ac:dyDescent="0.3">
      <c r="B96" t="s">
        <v>6</v>
      </c>
      <c r="C96">
        <v>4</v>
      </c>
      <c r="D96">
        <v>2</v>
      </c>
      <c r="I96">
        <f t="shared" si="8"/>
        <v>6</v>
      </c>
    </row>
    <row r="97" spans="2:9" x14ac:dyDescent="0.3">
      <c r="B97" t="s">
        <v>7</v>
      </c>
      <c r="C97">
        <v>0</v>
      </c>
      <c r="D97">
        <v>0</v>
      </c>
      <c r="I97">
        <f t="shared" si="8"/>
        <v>0</v>
      </c>
    </row>
    <row r="98" spans="2:9" x14ac:dyDescent="0.3">
      <c r="B98" t="s">
        <v>8</v>
      </c>
      <c r="C98">
        <v>0</v>
      </c>
      <c r="D98">
        <v>0</v>
      </c>
      <c r="I98">
        <f t="shared" si="8"/>
        <v>0</v>
      </c>
    </row>
    <row r="99" spans="2:9" x14ac:dyDescent="0.3">
      <c r="B99" t="s">
        <v>9</v>
      </c>
      <c r="C99">
        <v>0</v>
      </c>
      <c r="D99">
        <v>0</v>
      </c>
      <c r="I99">
        <f t="shared" si="8"/>
        <v>0</v>
      </c>
    </row>
    <row r="100" spans="2:9" x14ac:dyDescent="0.3">
      <c r="B100" t="s">
        <v>10</v>
      </c>
      <c r="C100">
        <v>1</v>
      </c>
      <c r="D100">
        <v>0</v>
      </c>
      <c r="I100">
        <f t="shared" si="8"/>
        <v>1</v>
      </c>
    </row>
    <row r="102" spans="2:9" x14ac:dyDescent="0.3">
      <c r="B102" t="s">
        <v>11</v>
      </c>
      <c r="C102">
        <v>2</v>
      </c>
      <c r="D102">
        <v>2</v>
      </c>
      <c r="I102">
        <f>SUM(C102:H102)</f>
        <v>4</v>
      </c>
    </row>
    <row r="103" spans="2:9" x14ac:dyDescent="0.3">
      <c r="B103" t="s">
        <v>12</v>
      </c>
      <c r="C103">
        <v>1</v>
      </c>
      <c r="D103">
        <v>1</v>
      </c>
      <c r="I103">
        <f>SUM(C103:H103)</f>
        <v>2</v>
      </c>
    </row>
    <row r="104" spans="2:9" x14ac:dyDescent="0.3">
      <c r="B104" t="s">
        <v>1</v>
      </c>
      <c r="C104">
        <v>10</v>
      </c>
      <c r="D104">
        <v>20</v>
      </c>
      <c r="I104">
        <f>SUM(C104:H104)</f>
        <v>30</v>
      </c>
    </row>
    <row r="105" spans="2:9" x14ac:dyDescent="0.3">
      <c r="B105" t="s">
        <v>13</v>
      </c>
      <c r="C105">
        <v>5</v>
      </c>
      <c r="D105">
        <v>10</v>
      </c>
      <c r="I105">
        <f>ROUNDDOWN(SUM(C104:H104)/SUM(C102:H102), 1)</f>
        <v>7.5</v>
      </c>
    </row>
    <row r="106" spans="2:9" x14ac:dyDescent="0.3">
      <c r="B106" t="s">
        <v>14</v>
      </c>
      <c r="C106">
        <v>10</v>
      </c>
      <c r="D106">
        <v>6</v>
      </c>
      <c r="I106">
        <f>SUM(C106:H106)</f>
        <v>16</v>
      </c>
    </row>
    <row r="111" spans="2:9" x14ac:dyDescent="0.3">
      <c r="B111" s="1" t="s">
        <v>26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</row>
    <row r="112" spans="2:9" x14ac:dyDescent="0.3">
      <c r="B112" t="s">
        <v>0</v>
      </c>
      <c r="C112">
        <v>2</v>
      </c>
      <c r="D112">
        <v>3</v>
      </c>
      <c r="E112">
        <v>3</v>
      </c>
      <c r="F112">
        <v>2</v>
      </c>
      <c r="G112">
        <v>4</v>
      </c>
      <c r="H112">
        <v>2</v>
      </c>
      <c r="I112">
        <f>SUM(C112:H112)</f>
        <v>16</v>
      </c>
    </row>
    <row r="113" spans="2:9" x14ac:dyDescent="0.3">
      <c r="B113" t="s">
        <v>1</v>
      </c>
      <c r="C113">
        <v>22</v>
      </c>
      <c r="D113">
        <v>18</v>
      </c>
      <c r="E113">
        <v>66</v>
      </c>
      <c r="F113">
        <v>17</v>
      </c>
      <c r="G113">
        <v>21</v>
      </c>
      <c r="H113">
        <v>40</v>
      </c>
      <c r="I113">
        <f>SUM(C113:H113)</f>
        <v>184</v>
      </c>
    </row>
    <row r="114" spans="2:9" x14ac:dyDescent="0.3">
      <c r="B114" t="s">
        <v>2</v>
      </c>
      <c r="C114">
        <v>1</v>
      </c>
      <c r="D114">
        <v>2</v>
      </c>
      <c r="E114">
        <v>3</v>
      </c>
      <c r="F114">
        <v>0</v>
      </c>
      <c r="G114">
        <v>1</v>
      </c>
      <c r="H114">
        <v>1</v>
      </c>
      <c r="I114">
        <f t="shared" ref="I114" si="9">SUM(C114:H114)</f>
        <v>8</v>
      </c>
    </row>
    <row r="115" spans="2:9" x14ac:dyDescent="0.3">
      <c r="B115" t="s">
        <v>3</v>
      </c>
      <c r="C115">
        <v>22</v>
      </c>
      <c r="D115">
        <v>16</v>
      </c>
      <c r="E115">
        <v>41</v>
      </c>
      <c r="F115">
        <v>11</v>
      </c>
      <c r="G115">
        <v>12</v>
      </c>
      <c r="H115">
        <v>30</v>
      </c>
      <c r="I115">
        <f>MAX(C115:H115)</f>
        <v>41</v>
      </c>
    </row>
    <row r="116" spans="2:9" x14ac:dyDescent="0.3">
      <c r="B116" t="s">
        <v>4</v>
      </c>
      <c r="C116">
        <v>146</v>
      </c>
      <c r="D116">
        <v>120</v>
      </c>
      <c r="E116">
        <v>275</v>
      </c>
      <c r="F116">
        <v>100</v>
      </c>
      <c r="G116">
        <v>58.3</v>
      </c>
      <c r="H116">
        <v>250</v>
      </c>
      <c r="I116">
        <f>SUM(C116:H116)/6</f>
        <v>158.21666666666667</v>
      </c>
    </row>
    <row r="117" spans="2:9" x14ac:dyDescent="0.3">
      <c r="B117" t="s">
        <v>5</v>
      </c>
      <c r="C117">
        <v>3</v>
      </c>
      <c r="D117">
        <v>1</v>
      </c>
      <c r="E117">
        <v>0</v>
      </c>
      <c r="F117">
        <v>1</v>
      </c>
      <c r="G117">
        <v>4</v>
      </c>
      <c r="H117">
        <v>1</v>
      </c>
      <c r="I117">
        <f t="shared" ref="I117:I122" si="10">SUM(C117:H117)</f>
        <v>10</v>
      </c>
    </row>
    <row r="118" spans="2:9" x14ac:dyDescent="0.3">
      <c r="B118" t="s">
        <v>6</v>
      </c>
      <c r="C118">
        <v>0</v>
      </c>
      <c r="D118">
        <v>1</v>
      </c>
      <c r="E118">
        <v>8</v>
      </c>
      <c r="F118">
        <v>2</v>
      </c>
      <c r="G118">
        <v>0</v>
      </c>
      <c r="H118">
        <v>6</v>
      </c>
      <c r="I118">
        <f t="shared" si="10"/>
        <v>17</v>
      </c>
    </row>
    <row r="119" spans="2:9" x14ac:dyDescent="0.3">
      <c r="B119" t="s">
        <v>7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1</v>
      </c>
      <c r="I119">
        <f t="shared" si="10"/>
        <v>2</v>
      </c>
    </row>
    <row r="120" spans="2:9" x14ac:dyDescent="0.3">
      <c r="B120" t="s">
        <v>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f t="shared" si="10"/>
        <v>0</v>
      </c>
    </row>
    <row r="121" spans="2:9" x14ac:dyDescent="0.3">
      <c r="B121" t="s">
        <v>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f t="shared" si="10"/>
        <v>0</v>
      </c>
    </row>
    <row r="122" spans="2:9" x14ac:dyDescent="0.3">
      <c r="B122" t="s">
        <v>10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f t="shared" si="10"/>
        <v>2</v>
      </c>
    </row>
    <row r="124" spans="2:9" x14ac:dyDescent="0.3">
      <c r="B124" t="s">
        <v>11</v>
      </c>
      <c r="C124">
        <v>3.3</v>
      </c>
      <c r="D124">
        <v>3.4</v>
      </c>
      <c r="E124">
        <v>5.2</v>
      </c>
      <c r="F124">
        <v>5</v>
      </c>
      <c r="G124">
        <v>8.1999999999999993</v>
      </c>
      <c r="H124">
        <v>5</v>
      </c>
      <c r="I124">
        <f>SUM(C124:H124)</f>
        <v>30.099999999999998</v>
      </c>
    </row>
    <row r="125" spans="2:9" x14ac:dyDescent="0.3">
      <c r="B125" t="s">
        <v>12</v>
      </c>
      <c r="C125">
        <v>2</v>
      </c>
      <c r="D125">
        <v>1</v>
      </c>
      <c r="E125">
        <v>1</v>
      </c>
      <c r="F125">
        <v>0</v>
      </c>
      <c r="G125">
        <v>2</v>
      </c>
      <c r="H125">
        <v>1</v>
      </c>
      <c r="I125">
        <f>SUM(C125:H125)</f>
        <v>7</v>
      </c>
    </row>
    <row r="126" spans="2:9" x14ac:dyDescent="0.3">
      <c r="B126" t="s">
        <v>1</v>
      </c>
      <c r="C126">
        <v>27</v>
      </c>
      <c r="D126">
        <v>40</v>
      </c>
      <c r="E126">
        <v>46</v>
      </c>
      <c r="F126">
        <v>42</v>
      </c>
      <c r="G126">
        <v>96</v>
      </c>
      <c r="H126">
        <v>71</v>
      </c>
      <c r="I126">
        <f>SUM(C126:H126)</f>
        <v>322</v>
      </c>
    </row>
    <row r="127" spans="2:9" x14ac:dyDescent="0.3">
      <c r="B127" t="s">
        <v>13</v>
      </c>
      <c r="C127">
        <v>7.71</v>
      </c>
      <c r="D127">
        <v>10.91</v>
      </c>
      <c r="E127">
        <v>8.6300000000000008</v>
      </c>
      <c r="F127">
        <v>8.4</v>
      </c>
      <c r="G127">
        <v>11.52</v>
      </c>
      <c r="H127">
        <v>14.2</v>
      </c>
      <c r="I127">
        <f>ROUNDDOWN(SUM(C126:H126)/SUM(C124:H124), 1)</f>
        <v>10.6</v>
      </c>
    </row>
    <row r="128" spans="2:9" x14ac:dyDescent="0.3">
      <c r="B128" t="s">
        <v>14</v>
      </c>
      <c r="C128">
        <v>12</v>
      </c>
      <c r="D128">
        <v>8</v>
      </c>
      <c r="E128">
        <v>20</v>
      </c>
      <c r="F128">
        <v>18</v>
      </c>
      <c r="G128">
        <v>27</v>
      </c>
      <c r="H128">
        <v>11</v>
      </c>
      <c r="I128">
        <f>SUM(C128:H128)</f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Mehta</dc:creator>
  <cp:lastModifiedBy>Atharva Mehta</cp:lastModifiedBy>
  <dcterms:created xsi:type="dcterms:W3CDTF">2026-05-21T14:03:15Z</dcterms:created>
  <dcterms:modified xsi:type="dcterms:W3CDTF">2026-05-21T18:41:32Z</dcterms:modified>
</cp:coreProperties>
</file>